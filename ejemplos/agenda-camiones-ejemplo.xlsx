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ómo funciona" sheetId="1" state="visible" r:id="rId3"/>
    <sheet name="Agenda" sheetId="2" state="visible" r:id="rId4"/>
    <sheet name="Cupo" sheetId="3" state="visible" r:id="rId5"/>
    <sheet name="Registr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Identificador del hilo de correo. Puede ocultarse. Sirve para no duplicar filas y para encontrar la fila cuando el cliente cambia la fecha o cancela.</t>
        </r>
      </text>
    </comment>
  </commentList>
</comments>
</file>

<file path=xl/sharedStrings.xml><?xml version="1.0" encoding="utf-8"?>
<sst xmlns="http://schemas.openxmlformats.org/spreadsheetml/2006/main" count="264" uniqueCount="185">
  <si>
    <t xml:space="preserve">Agenda de camiones · ejemplo de cómo la llena el agente</t>
  </si>
  <si>
    <t xml:space="preserve">Todos los datos de este archivo son FICTICIOS. Es una maqueta para conversar con Pato; el formato final se ajusta a su Excel real.</t>
  </si>
  <si>
    <t xml:space="preserve">Hoja</t>
  </si>
  <si>
    <t xml:space="preserve">Para qué sirve</t>
  </si>
  <si>
    <t xml:space="preserve">Agenda</t>
  </si>
  <si>
    <t xml:space="preserve">La agenda de Pato. Una fila por camión. El agente AGREGA filas al final de la tabla; Pato las confirma y puede escribir filas a mano.</t>
  </si>
  <si>
    <t xml:space="preserve">Cupo</t>
  </si>
  <si>
    <t xml:space="preserve">Cuántos camiones hay por día contra la capacidad. Marca COPADO. (El agente hace el mismo cálculo antes de escribir.)</t>
  </si>
  <si>
    <t xml:space="preserve">Registro</t>
  </si>
  <si>
    <t xml:space="preserve">Cada correo que leyó el agente y qué hizo con él (incluye cotizaciones, que no van a la agenda). Sirve para medir y revisar.</t>
  </si>
  <si>
    <t xml:space="preserve">Columna Estado</t>
  </si>
  <si>
    <t xml:space="preserve">Qué significa</t>
  </si>
  <si>
    <t xml:space="preserve">POR CONFIRMAR</t>
  </si>
  <si>
    <t xml:space="preserve">Lo escribe el agente: había cupo. Pato debe confirmar.</t>
  </si>
  <si>
    <t xml:space="preserve">CONFIRMADO</t>
  </si>
  <si>
    <t xml:space="preserve">Lo escribe Pato cuando confirma. El agente nunca lo escribe.</t>
  </si>
  <si>
    <t xml:space="preserve">URGENTE</t>
  </si>
  <si>
    <t xml:space="preserve">Lo escribe el agente: piden con menos de 2 días de anticipación. Llega alerta.</t>
  </si>
  <si>
    <t xml:space="preserve">SIN CUPO</t>
  </si>
  <si>
    <t xml:space="preserve">Lo escribe el agente: el día pedido ya estaba copado. Llega alerta con el próximo día con cupo.</t>
  </si>
  <si>
    <t xml:space="preserve">REVISAR</t>
  </si>
  <si>
    <t xml:space="preserve">Lo escribe el agente: no está seguro del tipo o la fecha. Llega alerta.</t>
  </si>
  <si>
    <t xml:space="preserve">CANCELADO</t>
  </si>
  <si>
    <t xml:space="preserve">Lo escribe el agente si el cliente cancela (o Pato a mano).</t>
  </si>
  <si>
    <t xml:space="preserve">Quién escribe qué</t>
  </si>
  <si>
    <t xml:space="preserve">El agente</t>
  </si>
  <si>
    <t xml:space="preserve">Fecha, Hora, Tipo, Cliente, Obra, N° cotización, Contacto, Transporte, Detalle, Estado, Origen, ID hilo.</t>
  </si>
  <si>
    <t xml:space="preserve">Pato</t>
  </si>
  <si>
    <t xml:space="preserve">Cambia Estado a CONFIRMADO, corrige lo que esté mal y agrega a mano lo que llegue por otro lado (Origen = 'Ingreso manual').</t>
  </si>
  <si>
    <t xml:space="preserve">Celdas a editar</t>
  </si>
  <si>
    <t xml:space="preserve">Hoja Cupo: celdas con fondo amarillo (capacidad por día y anticipación mínima). Son supuestos a validar con Pato.</t>
  </si>
  <si>
    <t xml:space="preserve">Fecha</t>
  </si>
  <si>
    <t xml:space="preserve">Hora</t>
  </si>
  <si>
    <t xml:space="preserve">Tipo</t>
  </si>
  <si>
    <t xml:space="preserve">Cliente</t>
  </si>
  <si>
    <t xml:space="preserve">Obra</t>
  </si>
  <si>
    <t xml:space="preserve">N° cotización</t>
  </si>
  <si>
    <t xml:space="preserve">Contacto</t>
  </si>
  <si>
    <t xml:space="preserve">Transporte</t>
  </si>
  <si>
    <t xml:space="preserve">Detalle</t>
  </si>
  <si>
    <t xml:space="preserve">Estado</t>
  </si>
  <si>
    <t xml:space="preserve">Origen</t>
  </si>
  <si>
    <t xml:space="preserve">ID hilo</t>
  </si>
  <si>
    <t xml:space="preserve">Recepción</t>
  </si>
  <si>
    <t xml:space="preserve">Constructora Cordillera</t>
  </si>
  <si>
    <t xml:space="preserve">Edificio Los Robles</t>
  </si>
  <si>
    <t xml:space="preserve">Contacto 1 · +56 9 0000 0000</t>
  </si>
  <si>
    <t xml:space="preserve">Patente XX-YY-10</t>
  </si>
  <si>
    <t xml:space="preserve">Devolución parcial</t>
  </si>
  <si>
    <t xml:space="preserve">Correo 15-10 08:10 · «Re: Cotización 4510»</t>
  </si>
  <si>
    <t xml:space="preserve">hilo-1001</t>
  </si>
  <si>
    <t xml:space="preserve">Despacho</t>
  </si>
  <si>
    <t xml:space="preserve">Inmobiliaria Pacífico Sur</t>
  </si>
  <si>
    <t xml:space="preserve">Condominio Mirador</t>
  </si>
  <si>
    <t xml:space="preserve">Contacto 2 · +56 9 0000 0001</t>
  </si>
  <si>
    <t xml:space="preserve">Andamio multidireccional</t>
  </si>
  <si>
    <t xml:space="preserve">Correo 15-10 09:11 · «Re: Cotización 4511»</t>
  </si>
  <si>
    <t xml:space="preserve">hilo-1002</t>
  </si>
  <si>
    <t xml:space="preserve">Montajes del Valle</t>
  </si>
  <si>
    <t xml:space="preserve">Hospital Sector Norte</t>
  </si>
  <si>
    <t xml:space="preserve">Contacto 3 · +56 9 0000 0002</t>
  </si>
  <si>
    <t xml:space="preserve">Patente XX-YY-12</t>
  </si>
  <si>
    <t xml:space="preserve">Correo 15-10 10:12 · «Re: Cotización 4512»</t>
  </si>
  <si>
    <t xml:space="preserve">hilo-1003</t>
  </si>
  <si>
    <t xml:space="preserve">Edificaciones Maipo</t>
  </si>
  <si>
    <t xml:space="preserve">Colegio San Pedro</t>
  </si>
  <si>
    <t xml:space="preserve">Contacto 4 · +56 9 0000 0003</t>
  </si>
  <si>
    <t xml:space="preserve">Correo 15-10 11:13 · «Re: Cotización 4513»</t>
  </si>
  <si>
    <t xml:space="preserve">hilo-1004</t>
  </si>
  <si>
    <t xml:space="preserve">Constructora Litoral</t>
  </si>
  <si>
    <t xml:space="preserve">Bodega Lampa Oriente</t>
  </si>
  <si>
    <t xml:space="preserve">Contacto 5 · +56 9 0000 0004</t>
  </si>
  <si>
    <t xml:space="preserve">Patente XX-YY-14</t>
  </si>
  <si>
    <t xml:space="preserve">Ingreso manual (Pato)</t>
  </si>
  <si>
    <t xml:space="preserve">Obras Civiles Aconcagua</t>
  </si>
  <si>
    <t xml:space="preserve">Torre Centro</t>
  </si>
  <si>
    <t xml:space="preserve">Contacto 6 · +56 9 0000 0005</t>
  </si>
  <si>
    <t xml:space="preserve">Correo 15-10 13:15 · «Re: Cotización 4515»</t>
  </si>
  <si>
    <t xml:space="preserve">hilo-1006</t>
  </si>
  <si>
    <t xml:space="preserve">Ingeniería Quilicura</t>
  </si>
  <si>
    <t xml:space="preserve">Planta Quilicura</t>
  </si>
  <si>
    <t xml:space="preserve">Contacto 7 · +56 9 0000 0006</t>
  </si>
  <si>
    <t xml:space="preserve">Patente XX-YY-16</t>
  </si>
  <si>
    <t xml:space="preserve">Correo 15-10 14:16 · «Re: Cotización 4516»</t>
  </si>
  <si>
    <t xml:space="preserve">hilo-1007</t>
  </si>
  <si>
    <t xml:space="preserve">Constructora Los Alerces</t>
  </si>
  <si>
    <t xml:space="preserve">Edificio Alerce</t>
  </si>
  <si>
    <t xml:space="preserve">Contacto 8 · +56 9 0000 0007</t>
  </si>
  <si>
    <t xml:space="preserve">Correo 15-10 15:17 · «Re: Cotización 4517»</t>
  </si>
  <si>
    <t xml:space="preserve">hilo-1008</t>
  </si>
  <si>
    <t xml:space="preserve">Remodelaciones Ñuñoa</t>
  </si>
  <si>
    <t xml:space="preserve">Casa Ñuñoa</t>
  </si>
  <si>
    <t xml:space="preserve">Contacto 9 · +56 9 0000 0008</t>
  </si>
  <si>
    <t xml:space="preserve">Patente XX-YY-18</t>
  </si>
  <si>
    <t xml:space="preserve">Correo 15-10 16:18 · «Re: Cotización 4518»</t>
  </si>
  <si>
    <t xml:space="preserve">hilo-1009</t>
  </si>
  <si>
    <t xml:space="preserve">Constructora Altamira</t>
  </si>
  <si>
    <t xml:space="preserve">Mall Altamira (fachada)</t>
  </si>
  <si>
    <t xml:space="preserve">Contacto 10 · +56 9 0000 0009</t>
  </si>
  <si>
    <t xml:space="preserve">Correo 15-10 17:19 · «Re: Cotización 4519»</t>
  </si>
  <si>
    <t xml:space="preserve">hilo-1010</t>
  </si>
  <si>
    <t xml:space="preserve">Sin hora</t>
  </si>
  <si>
    <t xml:space="preserve">Constructora Precordillera</t>
  </si>
  <si>
    <t xml:space="preserve">Edificio Plaza Oriente</t>
  </si>
  <si>
    <t xml:space="preserve">Contacto 11 · +56 9 0000 0011</t>
  </si>
  <si>
    <t xml:space="preserve">Pidió lunes 19. Día copado. Próximo día con cupo: mar 20-10.</t>
  </si>
  <si>
    <t xml:space="preserve">Correo 16-10 10:05 · «Re: Cotización 4533»</t>
  </si>
  <si>
    <t xml:space="preserve">hilo-1011</t>
  </si>
  <si>
    <t xml:space="preserve">Patente XX-YY-21</t>
  </si>
  <si>
    <t xml:space="preserve">Devuelven 40 verticales y 60 diagonales</t>
  </si>
  <si>
    <t xml:space="preserve">Correo 16-10 11:40 · «Devolución obra Mirador»</t>
  </si>
  <si>
    <t xml:space="preserve">hilo-1012</t>
  </si>
  <si>
    <t xml:space="preserve">Camión Alzatec</t>
  </si>
  <si>
    <t xml:space="preserve">Alzatec (interno)</t>
  </si>
  <si>
    <t xml:space="preserve">Galvanizadora</t>
  </si>
  <si>
    <t xml:space="preserve">Retirar material galvanizado</t>
  </si>
  <si>
    <t xml:space="preserve">Correo 16-10 12:15 · «Retiro galvanizado» (interno)</t>
  </si>
  <si>
    <t xml:space="preserve">hilo-1013</t>
  </si>
  <si>
    <t xml:space="preserve">Cliente pidió 'el martes' y luego escribió 'no vamos a ir'.</t>
  </si>
  <si>
    <t xml:space="preserve">Correo 16-10 15:02 · «Re: Cotización 4512»</t>
  </si>
  <si>
    <t xml:space="preserve">hilo-1014</t>
  </si>
  <si>
    <t xml:space="preserve">Contacto 12 · +56 9 0000 0012</t>
  </si>
  <si>
    <t xml:space="preserve">Torre escala completa</t>
  </si>
  <si>
    <t xml:space="preserve">Correo 16-10 16:20 · «Re: Cotización 4540» (CC vendedor)</t>
  </si>
  <si>
    <t xml:space="preserve">hilo-1015</t>
  </si>
  <si>
    <t xml:space="preserve">Tarde</t>
  </si>
  <si>
    <t xml:space="preserve">Contacto 13 · +56 9 0000 0013</t>
  </si>
  <si>
    <t xml:space="preserve">'Lo voy a buscar hoy en la tarde'</t>
  </si>
  <si>
    <t xml:space="preserve">Correo 16-10 09:03 · «Re: Cotización 4541»</t>
  </si>
  <si>
    <t xml:space="preserve">hilo-1016</t>
  </si>
  <si>
    <t xml:space="preserve">Escribió 'la próxima semana devolvemos todo', sin día.</t>
  </si>
  <si>
    <t xml:space="preserve">Correo 16-10 17:45 · «Fin de obra Altamira»</t>
  </si>
  <si>
    <t xml:space="preserve">hilo-1017</t>
  </si>
  <si>
    <t xml:space="preserve">Cupo por día</t>
  </si>
  <si>
    <t xml:space="preserve">Capacidad máxima de camiones por día</t>
  </si>
  <si>
    <t xml:space="preserve">Supuesto: gerencia dijo ~10 camiones diarios. Validar con Pato si hay máximo por día, por bloque o por tipo.</t>
  </si>
  <si>
    <t xml:space="preserve">Anticipación mínima (días)</t>
  </si>
  <si>
    <t xml:space="preserve">Regla indicada por gerencia: agendar con 2 días de anticipación. Menos que eso → URGENTE.</t>
  </si>
  <si>
    <t xml:space="preserve">Camiones agendados</t>
  </si>
  <si>
    <t xml:space="preserve">Capacidad</t>
  </si>
  <si>
    <t xml:space="preserve">Cupos libres</t>
  </si>
  <si>
    <t xml:space="preserve">Estado del día</t>
  </si>
  <si>
    <t xml:space="preserve">Cuenta todas las filas de ese día menos SIN CUPO y CANCELADO (incluye las escritas a mano).</t>
  </si>
  <si>
    <t xml:space="preserve">Recibido</t>
  </si>
  <si>
    <t xml:space="preserve">Asunto</t>
  </si>
  <si>
    <t xml:space="preserve">Clasificación</t>
  </si>
  <si>
    <t xml:space="preserve">Qué hizo el agente</t>
  </si>
  <si>
    <t xml:space="preserve">15-10 08:10</t>
  </si>
  <si>
    <t xml:space="preserve">Re: Cotización 4510</t>
  </si>
  <si>
    <t xml:space="preserve">Agregó fila lunes 19-10 08:00 (POR CONFIRMAR)</t>
  </si>
  <si>
    <t xml:space="preserve">15-10 08:40</t>
  </si>
  <si>
    <t xml:space="preserve">Cotización 4525 · Edificio Plaza</t>
  </si>
  <si>
    <t xml:space="preserve">Cotización</t>
  </si>
  <si>
    <t xml:space="preserve">Nada (no va a la agenda)</t>
  </si>
  <si>
    <t xml:space="preserve">hilo-1020</t>
  </si>
  <si>
    <t xml:space="preserve">15-10 09:55</t>
  </si>
  <si>
    <t xml:space="preserve">Consulta precios alzaprimas</t>
  </si>
  <si>
    <t xml:space="preserve">hilo-1021</t>
  </si>
  <si>
    <t xml:space="preserve">16-10 09:03</t>
  </si>
  <si>
    <t xml:space="preserve">Re: Cotización 4541</t>
  </si>
  <si>
    <t xml:space="preserve">Agregó fila vie 16-10 (URGENTE) y envió alerta</t>
  </si>
  <si>
    <t xml:space="preserve">16-10 10:05</t>
  </si>
  <si>
    <t xml:space="preserve">Re: Cotización 4533</t>
  </si>
  <si>
    <t xml:space="preserve">Lunes 19 copado: fila SIN CUPO, alerta con próximo día (mar 20-10)</t>
  </si>
  <si>
    <t xml:space="preserve">16-10 11:40</t>
  </si>
  <si>
    <t xml:space="preserve">Devolución obra Mirador</t>
  </si>
  <si>
    <t xml:space="preserve">Agregó fila mar 20-10 09:00 (POR CONFIRMAR)</t>
  </si>
  <si>
    <t xml:space="preserve">16-10 12:15</t>
  </si>
  <si>
    <t xml:space="preserve">Retiro galvanizado</t>
  </si>
  <si>
    <t xml:space="preserve">Agregó fila mar 20-10 10:30 (POR CONFIRMAR)</t>
  </si>
  <si>
    <t xml:space="preserve">16-10 14:30</t>
  </si>
  <si>
    <t xml:space="preserve">Re: Cotización 4512</t>
  </si>
  <si>
    <t xml:space="preserve">Agregó fila mar 20-10 (POR CONFIRMAR)</t>
  </si>
  <si>
    <t xml:space="preserve">16-10 15:02</t>
  </si>
  <si>
    <t xml:space="preserve">Cancelación</t>
  </si>
  <si>
    <t xml:space="preserve">Encontró la fila por ID hilo y la marcó CANCELADO</t>
  </si>
  <si>
    <t xml:space="preserve">16-10 16:20</t>
  </si>
  <si>
    <t xml:space="preserve">Re: Cotización 4540 (CC vendedor)</t>
  </si>
  <si>
    <t xml:space="preserve">Agregó fila mié 21-10 08:30 (POR CONFIRMAR)</t>
  </si>
  <si>
    <t xml:space="preserve">16-10 16:25</t>
  </si>
  <si>
    <t xml:space="preserve">Re: Cotización 4540</t>
  </si>
  <si>
    <t xml:space="preserve">Mismo hilo y misma fecha: no duplicó la fila</t>
  </si>
  <si>
    <t xml:space="preserve">16-10 17:45</t>
  </si>
  <si>
    <t xml:space="preserve">Fin de obra Altamira</t>
  </si>
  <si>
    <t xml:space="preserve">Fecha poco clara: fila REVISAR y alerta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</si>
</sst>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hh:mm"/>
    <numFmt numFmtId="167" formatCode="ddd\ dd\-mm\-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8CBAD"/>
        <bgColor rgb="FFFFC7CE"/>
      </patternFill>
    </fill>
    <fill>
      <patternFill patternType="solid">
        <fgColor rgb="FFFFC7CE"/>
        <bgColor rgb="FFF8CBAD"/>
      </patternFill>
    </fill>
    <fill>
      <patternFill patternType="solid">
        <fgColor rgb="FFD9D9D9"/>
        <bgColor rgb="FFC6EFCE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FF2CC"/>
        </patternFill>
      </fill>
    </dxf>
    <dxf>
      <font>
        <name val="Arial"/>
        <charset val="1"/>
        <family val="0"/>
        <b val="1"/>
      </font>
      <fill>
        <patternFill>
          <bgColor rgb="FFC6EFCE"/>
        </patternFill>
      </fill>
    </dxf>
    <dxf>
      <font>
        <name val="Arial"/>
        <charset val="1"/>
        <family val="0"/>
        <b val="1"/>
      </font>
      <fill>
        <patternFill>
          <bgColor rgb="FFF8CBAD"/>
        </patternFill>
      </fill>
    </dxf>
    <dxf>
      <font>
        <name val="Arial"/>
        <charset val="1"/>
        <family val="0"/>
        <b val="1"/>
      </font>
      <fill>
        <patternFill>
          <bgColor rgb="FFFFC7CE"/>
        </patternFill>
      </fill>
    </dxf>
    <dxf>
      <font>
        <name val="Arial"/>
        <charset val="1"/>
        <family val="0"/>
        <b val="1"/>
      </font>
      <fill>
        <patternFill>
          <bgColor rgb="FFD9D9D9"/>
        </patternFill>
      </fill>
    </dxf>
    <dxf>
      <font>
        <name val="Arial"/>
        <charset val="1"/>
        <family val="0"/>
        <strike val="1"/>
        <color rgb="FF808080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Agenda" displayName="tblAgenda" ref="A1:L18" headerRowCount="1" totalsRowCount="0" totalsRowShown="0">
  <autoFilter ref="A1:L18"/>
  <tableColumns count="12">
    <tableColumn id="1" name="Fecha"/>
    <tableColumn id="2" name="Hora"/>
    <tableColumn id="3" name="Tipo"/>
    <tableColumn id="4" name="Cliente"/>
    <tableColumn id="5" name="Obra"/>
    <tableColumn id="6" name="N° cotización"/>
    <tableColumn id="7" name="Contacto"/>
    <tableColumn id="8" name="Transporte"/>
    <tableColumn id="9" name="Detalle"/>
    <tableColumn id="10" name="Estado"/>
    <tableColumn id="11" name="Origen"/>
    <tableColumn id="12" name="ID hilo"/>
  </tableColumns>
</table>
</file>

<file path=xl/tables/table2.xml><?xml version="1.0" encoding="utf-8"?>
<table xmlns="http://schemas.openxmlformats.org/spreadsheetml/2006/main" id="2" name="tblRegistro" displayName="tblRegistro" ref="A1:E13" headerRowCount="1" totalsRowCount="0" totalsRowShown="0">
  <autoFilter ref="A1:E13"/>
  <tableColumns count="5">
    <tableColumn id="1" name="Recibido"/>
    <tableColumn id="2" name="Asunto"/>
    <tableColumn id="3" name="Clasificación"/>
    <tableColumn id="4" name="Qué hizo el agente"/>
    <tableColumn id="5" name="ID hil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  <c r="B4" s="6" t="s">
        <v>3</v>
      </c>
    </row>
    <row r="5" customFormat="false" ht="23.85" hidden="false" customHeight="false" outlineLevel="0" collapsed="false">
      <c r="A5" s="7" t="s">
        <v>4</v>
      </c>
      <c r="B5" s="4" t="s">
        <v>5</v>
      </c>
    </row>
    <row r="6" customFormat="false" ht="15" hidden="false" customHeight="false" outlineLevel="0" collapsed="false">
      <c r="A6" s="7" t="s">
        <v>6</v>
      </c>
      <c r="B6" s="4" t="s">
        <v>7</v>
      </c>
    </row>
    <row r="7" customFormat="false" ht="15" hidden="false" customHeight="false" outlineLevel="0" collapsed="false">
      <c r="A7" s="7" t="s">
        <v>8</v>
      </c>
      <c r="B7" s="4" t="s">
        <v>9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5" t="s">
        <v>10</v>
      </c>
      <c r="B9" s="6" t="s">
        <v>11</v>
      </c>
    </row>
    <row r="10" customFormat="false" ht="15" hidden="false" customHeight="false" outlineLevel="0" collapsed="false">
      <c r="A10" s="8" t="s">
        <v>12</v>
      </c>
      <c r="B10" s="4" t="s">
        <v>13</v>
      </c>
    </row>
    <row r="11" customFormat="false" ht="15" hidden="false" customHeight="false" outlineLevel="0" collapsed="false">
      <c r="A11" s="9" t="s">
        <v>14</v>
      </c>
      <c r="B11" s="4" t="s">
        <v>15</v>
      </c>
    </row>
    <row r="12" customFormat="false" ht="15" hidden="false" customHeight="false" outlineLevel="0" collapsed="false">
      <c r="A12" s="10" t="s">
        <v>16</v>
      </c>
      <c r="B12" s="4" t="s">
        <v>17</v>
      </c>
    </row>
    <row r="13" customFormat="false" ht="15" hidden="false" customHeight="false" outlineLevel="0" collapsed="false">
      <c r="A13" s="11" t="s">
        <v>18</v>
      </c>
      <c r="B13" s="4" t="s">
        <v>19</v>
      </c>
    </row>
    <row r="14" customFormat="false" ht="15" hidden="false" customHeight="false" outlineLevel="0" collapsed="false">
      <c r="A14" s="12" t="s">
        <v>20</v>
      </c>
      <c r="B14" s="4" t="s">
        <v>21</v>
      </c>
    </row>
    <row r="15" customFormat="false" ht="15" hidden="false" customHeight="false" outlineLevel="0" collapsed="false">
      <c r="A15" s="13" t="s">
        <v>22</v>
      </c>
      <c r="B15" s="4" t="s">
        <v>23</v>
      </c>
    </row>
    <row r="16" customFormat="false" ht="15" hidden="false" customHeight="false" outlineLevel="0" collapsed="false">
      <c r="A16" s="3"/>
      <c r="B16" s="4"/>
    </row>
    <row r="17" customFormat="false" ht="15" hidden="false" customHeight="false" outlineLevel="0" collapsed="false">
      <c r="A17" s="3" t="s">
        <v>24</v>
      </c>
      <c r="B17" s="4"/>
    </row>
    <row r="18" customFormat="false" ht="15" hidden="false" customHeight="false" outlineLevel="0" collapsed="false">
      <c r="A18" s="7" t="s">
        <v>25</v>
      </c>
      <c r="B18" s="4" t="s">
        <v>26</v>
      </c>
    </row>
    <row r="19" customFormat="false" ht="23.85" hidden="false" customHeight="false" outlineLevel="0" collapsed="false">
      <c r="A19" s="7" t="s">
        <v>27</v>
      </c>
      <c r="B19" s="4" t="s">
        <v>28</v>
      </c>
    </row>
    <row r="20" customFormat="false" ht="15" hidden="false" customHeight="false" outlineLevel="0" collapsed="false">
      <c r="A20" s="3"/>
      <c r="B20" s="4"/>
    </row>
    <row r="21" customFormat="false" ht="15" hidden="false" customHeight="false" outlineLevel="0" collapsed="false">
      <c r="A21" s="3" t="s">
        <v>29</v>
      </c>
      <c r="B21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9" min="9" style="0" width="46"/>
    <col collapsed="false" customWidth="true" hidden="false" outlineLevel="0" max="10" min="10" style="0" width="16"/>
    <col collapsed="false" customWidth="true" hidden="false" outlineLevel="0" max="11" min="11" style="0" width="48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14" t="s">
        <v>31</v>
      </c>
      <c r="B1" s="14" t="s">
        <v>32</v>
      </c>
      <c r="C1" s="14" t="s">
        <v>33</v>
      </c>
      <c r="D1" s="14" t="s">
        <v>34</v>
      </c>
      <c r="E1" s="14" t="s">
        <v>35</v>
      </c>
      <c r="F1" s="14" t="s">
        <v>36</v>
      </c>
      <c r="G1" s="14" t="s">
        <v>37</v>
      </c>
      <c r="H1" s="14" t="s">
        <v>38</v>
      </c>
      <c r="I1" s="15" t="s">
        <v>39</v>
      </c>
      <c r="J1" s="14" t="s">
        <v>40</v>
      </c>
      <c r="K1" s="15" t="s">
        <v>41</v>
      </c>
      <c r="L1" s="14" t="s">
        <v>42</v>
      </c>
    </row>
    <row r="2" customFormat="false" ht="15" hidden="false" customHeight="false" outlineLevel="0" collapsed="false">
      <c r="A2" s="16" t="n">
        <v>46314</v>
      </c>
      <c r="B2" s="17" t="n">
        <v>0.333333333333333</v>
      </c>
      <c r="C2" s="18" t="s">
        <v>43</v>
      </c>
      <c r="D2" s="18" t="s">
        <v>44</v>
      </c>
      <c r="E2" s="18" t="s">
        <v>45</v>
      </c>
      <c r="F2" s="18" t="n">
        <v>4510</v>
      </c>
      <c r="G2" s="18" t="s">
        <v>46</v>
      </c>
      <c r="H2" s="18" t="s">
        <v>47</v>
      </c>
      <c r="I2" s="4" t="s">
        <v>48</v>
      </c>
      <c r="J2" s="18" t="s">
        <v>14</v>
      </c>
      <c r="K2" s="4" t="s">
        <v>49</v>
      </c>
      <c r="L2" s="19" t="s">
        <v>50</v>
      </c>
    </row>
    <row r="3" customFormat="false" ht="15" hidden="false" customHeight="false" outlineLevel="0" collapsed="false">
      <c r="A3" s="16" t="n">
        <v>46314</v>
      </c>
      <c r="B3" s="17" t="n">
        <v>0.354166666666667</v>
      </c>
      <c r="C3" s="18" t="s">
        <v>51</v>
      </c>
      <c r="D3" s="18" t="s">
        <v>52</v>
      </c>
      <c r="E3" s="18" t="s">
        <v>53</v>
      </c>
      <c r="F3" s="18" t="n">
        <v>4511</v>
      </c>
      <c r="G3" s="18" t="s">
        <v>54</v>
      </c>
      <c r="H3" s="18"/>
      <c r="I3" s="4" t="s">
        <v>55</v>
      </c>
      <c r="J3" s="18" t="s">
        <v>14</v>
      </c>
      <c r="K3" s="4" t="s">
        <v>56</v>
      </c>
      <c r="L3" s="19" t="s">
        <v>57</v>
      </c>
    </row>
    <row r="4" customFormat="false" ht="15" hidden="false" customHeight="false" outlineLevel="0" collapsed="false">
      <c r="A4" s="16" t="n">
        <v>46314</v>
      </c>
      <c r="B4" s="17" t="n">
        <v>0.375</v>
      </c>
      <c r="C4" s="18" t="s">
        <v>51</v>
      </c>
      <c r="D4" s="18" t="s">
        <v>58</v>
      </c>
      <c r="E4" s="18" t="s">
        <v>59</v>
      </c>
      <c r="F4" s="18" t="n">
        <v>4512</v>
      </c>
      <c r="G4" s="18" t="s">
        <v>60</v>
      </c>
      <c r="H4" s="18" t="s">
        <v>61</v>
      </c>
      <c r="I4" s="4" t="s">
        <v>55</v>
      </c>
      <c r="J4" s="18" t="s">
        <v>14</v>
      </c>
      <c r="K4" s="4" t="s">
        <v>62</v>
      </c>
      <c r="L4" s="19" t="s">
        <v>63</v>
      </c>
    </row>
    <row r="5" customFormat="false" ht="15" hidden="false" customHeight="false" outlineLevel="0" collapsed="false">
      <c r="A5" s="16" t="n">
        <v>46314</v>
      </c>
      <c r="B5" s="17" t="n">
        <v>0.395833333333333</v>
      </c>
      <c r="C5" s="18" t="s">
        <v>43</v>
      </c>
      <c r="D5" s="18" t="s">
        <v>64</v>
      </c>
      <c r="E5" s="18" t="s">
        <v>65</v>
      </c>
      <c r="F5" s="18" t="n">
        <v>4513</v>
      </c>
      <c r="G5" s="18" t="s">
        <v>66</v>
      </c>
      <c r="H5" s="18"/>
      <c r="I5" s="4" t="s">
        <v>48</v>
      </c>
      <c r="J5" s="18" t="s">
        <v>14</v>
      </c>
      <c r="K5" s="4" t="s">
        <v>67</v>
      </c>
      <c r="L5" s="19" t="s">
        <v>68</v>
      </c>
    </row>
    <row r="6" customFormat="false" ht="15" hidden="false" customHeight="false" outlineLevel="0" collapsed="false">
      <c r="A6" s="16" t="n">
        <v>46314</v>
      </c>
      <c r="B6" s="17" t="n">
        <v>0.416666666666667</v>
      </c>
      <c r="C6" s="18" t="s">
        <v>51</v>
      </c>
      <c r="D6" s="18" t="s">
        <v>69</v>
      </c>
      <c r="E6" s="18" t="s">
        <v>70</v>
      </c>
      <c r="F6" s="18" t="n">
        <v>4514</v>
      </c>
      <c r="G6" s="18" t="s">
        <v>71</v>
      </c>
      <c r="H6" s="18" t="s">
        <v>72</v>
      </c>
      <c r="I6" s="4" t="s">
        <v>55</v>
      </c>
      <c r="J6" s="18" t="s">
        <v>14</v>
      </c>
      <c r="K6" s="4" t="s">
        <v>73</v>
      </c>
      <c r="L6" s="19"/>
    </row>
    <row r="7" customFormat="false" ht="15" hidden="false" customHeight="false" outlineLevel="0" collapsed="false">
      <c r="A7" s="16" t="n">
        <v>46314</v>
      </c>
      <c r="B7" s="17" t="n">
        <v>0.4375</v>
      </c>
      <c r="C7" s="18" t="s">
        <v>51</v>
      </c>
      <c r="D7" s="18" t="s">
        <v>74</v>
      </c>
      <c r="E7" s="18" t="s">
        <v>75</v>
      </c>
      <c r="F7" s="18" t="n">
        <v>4515</v>
      </c>
      <c r="G7" s="18" t="s">
        <v>76</v>
      </c>
      <c r="H7" s="18"/>
      <c r="I7" s="4" t="s">
        <v>55</v>
      </c>
      <c r="J7" s="18" t="s">
        <v>14</v>
      </c>
      <c r="K7" s="4" t="s">
        <v>77</v>
      </c>
      <c r="L7" s="19" t="s">
        <v>78</v>
      </c>
    </row>
    <row r="8" customFormat="false" ht="15" hidden="false" customHeight="false" outlineLevel="0" collapsed="false">
      <c r="A8" s="16" t="n">
        <v>46314</v>
      </c>
      <c r="B8" s="17" t="n">
        <v>0.458333333333333</v>
      </c>
      <c r="C8" s="18" t="s">
        <v>43</v>
      </c>
      <c r="D8" s="18" t="s">
        <v>79</v>
      </c>
      <c r="E8" s="18" t="s">
        <v>80</v>
      </c>
      <c r="F8" s="18" t="n">
        <v>4516</v>
      </c>
      <c r="G8" s="18" t="s">
        <v>81</v>
      </c>
      <c r="H8" s="18" t="s">
        <v>82</v>
      </c>
      <c r="I8" s="4" t="s">
        <v>48</v>
      </c>
      <c r="J8" s="18" t="s">
        <v>14</v>
      </c>
      <c r="K8" s="4" t="s">
        <v>83</v>
      </c>
      <c r="L8" s="19" t="s">
        <v>84</v>
      </c>
    </row>
    <row r="9" customFormat="false" ht="15" hidden="false" customHeight="false" outlineLevel="0" collapsed="false">
      <c r="A9" s="16" t="n">
        <v>46314</v>
      </c>
      <c r="B9" s="17" t="n">
        <v>0.479166666666667</v>
      </c>
      <c r="C9" s="18" t="s">
        <v>51</v>
      </c>
      <c r="D9" s="18" t="s">
        <v>85</v>
      </c>
      <c r="E9" s="18" t="s">
        <v>86</v>
      </c>
      <c r="F9" s="18" t="n">
        <v>4517</v>
      </c>
      <c r="G9" s="18" t="s">
        <v>87</v>
      </c>
      <c r="H9" s="18"/>
      <c r="I9" s="4" t="s">
        <v>55</v>
      </c>
      <c r="J9" s="18" t="s">
        <v>12</v>
      </c>
      <c r="K9" s="4" t="s">
        <v>88</v>
      </c>
      <c r="L9" s="19" t="s">
        <v>89</v>
      </c>
    </row>
    <row r="10" customFormat="false" ht="15" hidden="false" customHeight="false" outlineLevel="0" collapsed="false">
      <c r="A10" s="16" t="n">
        <v>46314</v>
      </c>
      <c r="B10" s="17" t="n">
        <v>0.5</v>
      </c>
      <c r="C10" s="18" t="s">
        <v>51</v>
      </c>
      <c r="D10" s="18" t="s">
        <v>90</v>
      </c>
      <c r="E10" s="18" t="s">
        <v>91</v>
      </c>
      <c r="F10" s="18" t="n">
        <v>4518</v>
      </c>
      <c r="G10" s="18" t="s">
        <v>92</v>
      </c>
      <c r="H10" s="18" t="s">
        <v>93</v>
      </c>
      <c r="I10" s="4" t="s">
        <v>55</v>
      </c>
      <c r="J10" s="18" t="s">
        <v>12</v>
      </c>
      <c r="K10" s="4" t="s">
        <v>94</v>
      </c>
      <c r="L10" s="19" t="s">
        <v>95</v>
      </c>
    </row>
    <row r="11" customFormat="false" ht="15" hidden="false" customHeight="false" outlineLevel="0" collapsed="false">
      <c r="A11" s="16" t="n">
        <v>46314</v>
      </c>
      <c r="B11" s="17" t="n">
        <v>0.520833333333333</v>
      </c>
      <c r="C11" s="18" t="s">
        <v>43</v>
      </c>
      <c r="D11" s="18" t="s">
        <v>96</v>
      </c>
      <c r="E11" s="18" t="s">
        <v>97</v>
      </c>
      <c r="F11" s="18" t="n">
        <v>4519</v>
      </c>
      <c r="G11" s="18" t="s">
        <v>98</v>
      </c>
      <c r="H11" s="18"/>
      <c r="I11" s="4" t="s">
        <v>48</v>
      </c>
      <c r="J11" s="18" t="s">
        <v>12</v>
      </c>
      <c r="K11" s="4" t="s">
        <v>99</v>
      </c>
      <c r="L11" s="19" t="s">
        <v>100</v>
      </c>
    </row>
    <row r="12" customFormat="false" ht="23.85" hidden="false" customHeight="false" outlineLevel="0" collapsed="false">
      <c r="A12" s="16" t="n">
        <v>46314</v>
      </c>
      <c r="B12" s="17" t="s">
        <v>101</v>
      </c>
      <c r="C12" s="18" t="s">
        <v>51</v>
      </c>
      <c r="D12" s="18" t="s">
        <v>102</v>
      </c>
      <c r="E12" s="18" t="s">
        <v>103</v>
      </c>
      <c r="F12" s="18" t="n">
        <v>4533</v>
      </c>
      <c r="G12" s="18" t="s">
        <v>104</v>
      </c>
      <c r="H12" s="18"/>
      <c r="I12" s="4" t="s">
        <v>105</v>
      </c>
      <c r="J12" s="18" t="s">
        <v>18</v>
      </c>
      <c r="K12" s="4" t="s">
        <v>106</v>
      </c>
      <c r="L12" s="19" t="s">
        <v>107</v>
      </c>
    </row>
    <row r="13" customFormat="false" ht="15" hidden="false" customHeight="false" outlineLevel="0" collapsed="false">
      <c r="A13" s="16" t="n">
        <v>46315</v>
      </c>
      <c r="B13" s="17" t="n">
        <v>0.375</v>
      </c>
      <c r="C13" s="18" t="s">
        <v>43</v>
      </c>
      <c r="D13" s="18" t="s">
        <v>52</v>
      </c>
      <c r="E13" s="18" t="s">
        <v>53</v>
      </c>
      <c r="F13" s="18" t="n">
        <v>4511</v>
      </c>
      <c r="G13" s="18" t="s">
        <v>54</v>
      </c>
      <c r="H13" s="18" t="s">
        <v>108</v>
      </c>
      <c r="I13" s="4" t="s">
        <v>109</v>
      </c>
      <c r="J13" s="18" t="s">
        <v>12</v>
      </c>
      <c r="K13" s="4" t="s">
        <v>110</v>
      </c>
      <c r="L13" s="19" t="s">
        <v>111</v>
      </c>
    </row>
    <row r="14" customFormat="false" ht="15" hidden="false" customHeight="false" outlineLevel="0" collapsed="false">
      <c r="A14" s="16" t="n">
        <v>46315</v>
      </c>
      <c r="B14" s="17" t="n">
        <v>0.4375</v>
      </c>
      <c r="C14" s="18" t="s">
        <v>112</v>
      </c>
      <c r="D14" s="18" t="s">
        <v>113</v>
      </c>
      <c r="E14" s="18" t="s">
        <v>114</v>
      </c>
      <c r="F14" s="18"/>
      <c r="G14" s="18" t="s">
        <v>27</v>
      </c>
      <c r="H14" s="18" t="s">
        <v>112</v>
      </c>
      <c r="I14" s="4" t="s">
        <v>115</v>
      </c>
      <c r="J14" s="18" t="s">
        <v>12</v>
      </c>
      <c r="K14" s="4" t="s">
        <v>116</v>
      </c>
      <c r="L14" s="19" t="s">
        <v>117</v>
      </c>
    </row>
    <row r="15" customFormat="false" ht="15" hidden="false" customHeight="false" outlineLevel="0" collapsed="false">
      <c r="A15" s="16" t="n">
        <v>46315</v>
      </c>
      <c r="B15" s="17" t="s">
        <v>101</v>
      </c>
      <c r="C15" s="18" t="s">
        <v>51</v>
      </c>
      <c r="D15" s="18" t="s">
        <v>58</v>
      </c>
      <c r="E15" s="18" t="s">
        <v>59</v>
      </c>
      <c r="F15" s="18" t="n">
        <v>4512</v>
      </c>
      <c r="G15" s="18" t="s">
        <v>60</v>
      </c>
      <c r="H15" s="18"/>
      <c r="I15" s="4" t="s">
        <v>118</v>
      </c>
      <c r="J15" s="18" t="s">
        <v>22</v>
      </c>
      <c r="K15" s="4" t="s">
        <v>119</v>
      </c>
      <c r="L15" s="19" t="s">
        <v>120</v>
      </c>
    </row>
    <row r="16" customFormat="false" ht="23.85" hidden="false" customHeight="false" outlineLevel="0" collapsed="false">
      <c r="A16" s="16" t="n">
        <v>46316</v>
      </c>
      <c r="B16" s="17" t="n">
        <v>0.354166666666667</v>
      </c>
      <c r="C16" s="18" t="s">
        <v>51</v>
      </c>
      <c r="D16" s="18" t="s">
        <v>85</v>
      </c>
      <c r="E16" s="18" t="s">
        <v>86</v>
      </c>
      <c r="F16" s="18" t="n">
        <v>4540</v>
      </c>
      <c r="G16" s="18" t="s">
        <v>121</v>
      </c>
      <c r="H16" s="18"/>
      <c r="I16" s="4" t="s">
        <v>122</v>
      </c>
      <c r="J16" s="18" t="s">
        <v>12</v>
      </c>
      <c r="K16" s="4" t="s">
        <v>123</v>
      </c>
      <c r="L16" s="19" t="s">
        <v>124</v>
      </c>
    </row>
    <row r="17" customFormat="false" ht="15" hidden="false" customHeight="false" outlineLevel="0" collapsed="false">
      <c r="A17" s="16" t="n">
        <v>46311</v>
      </c>
      <c r="B17" s="17" t="s">
        <v>125</v>
      </c>
      <c r="C17" s="18" t="s">
        <v>51</v>
      </c>
      <c r="D17" s="18" t="s">
        <v>90</v>
      </c>
      <c r="E17" s="18" t="s">
        <v>91</v>
      </c>
      <c r="F17" s="18" t="n">
        <v>4541</v>
      </c>
      <c r="G17" s="18" t="s">
        <v>126</v>
      </c>
      <c r="H17" s="18"/>
      <c r="I17" s="4" t="s">
        <v>127</v>
      </c>
      <c r="J17" s="18" t="s">
        <v>16</v>
      </c>
      <c r="K17" s="4" t="s">
        <v>128</v>
      </c>
      <c r="L17" s="19" t="s">
        <v>129</v>
      </c>
    </row>
    <row r="18" customFormat="false" ht="15" hidden="false" customHeight="false" outlineLevel="0" collapsed="false">
      <c r="A18" s="16"/>
      <c r="B18" s="17"/>
      <c r="C18" s="18" t="s">
        <v>43</v>
      </c>
      <c r="D18" s="18" t="s">
        <v>96</v>
      </c>
      <c r="E18" s="18" t="s">
        <v>97</v>
      </c>
      <c r="F18" s="18" t="n">
        <v>4519</v>
      </c>
      <c r="G18" s="18" t="s">
        <v>98</v>
      </c>
      <c r="H18" s="18"/>
      <c r="I18" s="4" t="s">
        <v>130</v>
      </c>
      <c r="J18" s="18" t="s">
        <v>20</v>
      </c>
      <c r="K18" s="4" t="s">
        <v>131</v>
      </c>
      <c r="L18" s="19" t="s">
        <v>132</v>
      </c>
    </row>
  </sheetData>
  <conditionalFormatting sqref="J2:J1000">
    <cfRule type="cellIs" priority="2" operator="equal" aboveAverage="0" equalAverage="0" bottom="0" percent="0" rank="0" text="" dxfId="9">
      <formula>"POR CONFIRMAR"</formula>
    </cfRule>
    <cfRule type="cellIs" priority="3" operator="equal" aboveAverage="0" equalAverage="0" bottom="0" percent="0" rank="0" text="" dxfId="10">
      <formula>"CONFIRMADO"</formula>
    </cfRule>
    <cfRule type="cellIs" priority="4" operator="equal" aboveAverage="0" equalAverage="0" bottom="0" percent="0" rank="0" text="" dxfId="11">
      <formula>"URGENTE"</formula>
    </cfRule>
    <cfRule type="cellIs" priority="5" operator="equal" aboveAverage="0" equalAverage="0" bottom="0" percent="0" rank="0" text="" dxfId="12">
      <formula>"SIN CUPO"</formula>
    </cfRule>
    <cfRule type="cellIs" priority="6" operator="equal" aboveAverage="0" equalAverage="0" bottom="0" percent="0" rank="0" text="" dxfId="13">
      <formula>"REVISAR"</formula>
    </cfRule>
    <cfRule type="cellIs" priority="7" operator="equal" aboveAverage="0" equalAverage="0" bottom="0" percent="0" rank="0" text="" dxfId="14">
      <formula>"CANCELADO"</formula>
    </cfRule>
  </conditionalFormatting>
  <dataValidations count="2">
    <dataValidation allowBlank="true" errorStyle="stop" operator="between" showDropDown="false" showErrorMessage="false" showInputMessage="false" sqref="C2:C1000" type="list">
      <formula1>"Despacho,Recepción,Camión Alzatec"</formula1>
      <formula2>0</formula2>
    </dataValidation>
    <dataValidation allowBlank="true" errorStyle="stop" operator="between" showDropDown="false" showErrorMessage="false" showInputMessage="false" sqref="J2:J1000" type="list">
      <formula1>"POR CONFIRMAR,CONFIRMADO,URGENTE,SIN CUPO,REVISAR,CANCELADO"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17.35" hidden="false" customHeight="false" outlineLevel="0" collapsed="false">
      <c r="A1" s="1" t="s">
        <v>133</v>
      </c>
    </row>
    <row r="3" customFormat="false" ht="15" hidden="false" customHeight="false" outlineLevel="0" collapsed="false">
      <c r="A3" s="7" t="s">
        <v>134</v>
      </c>
      <c r="B3" s="20" t="n">
        <v>10</v>
      </c>
      <c r="C3" s="21" t="s">
        <v>135</v>
      </c>
    </row>
    <row r="4" customFormat="false" ht="15" hidden="false" customHeight="false" outlineLevel="0" collapsed="false">
      <c r="A4" s="7" t="s">
        <v>136</v>
      </c>
      <c r="B4" s="20" t="n">
        <v>2</v>
      </c>
      <c r="C4" s="21" t="s">
        <v>137</v>
      </c>
    </row>
    <row r="6" customFormat="false" ht="15" hidden="false" customHeight="false" outlineLevel="0" collapsed="false">
      <c r="A6" s="5" t="s">
        <v>31</v>
      </c>
      <c r="B6" s="5" t="s">
        <v>138</v>
      </c>
      <c r="C6" s="5" t="s">
        <v>139</v>
      </c>
      <c r="D6" s="5" t="s">
        <v>140</v>
      </c>
      <c r="E6" s="5" t="s">
        <v>141</v>
      </c>
      <c r="F6" s="21" t="s">
        <v>142</v>
      </c>
    </row>
    <row r="7" customFormat="false" ht="15" hidden="false" customHeight="false" outlineLevel="0" collapsed="false">
      <c r="A7" s="22" t="n">
        <v>46311</v>
      </c>
      <c r="B7" s="7" t="n">
        <f aca="false">COUNTIFS(Agenda!$A:$A,A7)-COUNTIFS(Agenda!$A:$A,A7,Agenda!$J:$J,"SIN CUPO")-COUNTIFS(Agenda!$A:$A,A7,Agenda!$J:$J,"CANCELADO")</f>
        <v>1</v>
      </c>
      <c r="C7" s="7" t="n">
        <f aca="false">$B$3</f>
        <v>10</v>
      </c>
      <c r="D7" s="7" t="n">
        <f aca="false">C7-B7</f>
        <v>9</v>
      </c>
      <c r="E7" s="7" t="str">
        <f aca="false">IF(B7&gt;=C7,"COPADO","Con cupo")</f>
        <v>Con cupo</v>
      </c>
    </row>
    <row r="8" customFormat="false" ht="15" hidden="false" customHeight="false" outlineLevel="0" collapsed="false">
      <c r="A8" s="22" t="n">
        <v>46314</v>
      </c>
      <c r="B8" s="7" t="n">
        <f aca="false">COUNTIFS(Agenda!$A:$A,A8)-COUNTIFS(Agenda!$A:$A,A8,Agenda!$J:$J,"SIN CUPO")-COUNTIFS(Agenda!$A:$A,A8,Agenda!$J:$J,"CANCELADO")</f>
        <v>10</v>
      </c>
      <c r="C8" s="7" t="n">
        <f aca="false">$B$3</f>
        <v>10</v>
      </c>
      <c r="D8" s="7" t="n">
        <f aca="false">C8-B8</f>
        <v>0</v>
      </c>
      <c r="E8" s="7" t="str">
        <f aca="false">IF(B8&gt;=C8,"COPADO","Con cupo")</f>
        <v>COPADO</v>
      </c>
    </row>
    <row r="9" customFormat="false" ht="15" hidden="false" customHeight="false" outlineLevel="0" collapsed="false">
      <c r="A9" s="22" t="n">
        <v>46315</v>
      </c>
      <c r="B9" s="7" t="n">
        <f aca="false">COUNTIFS(Agenda!$A:$A,A9)-COUNTIFS(Agenda!$A:$A,A9,Agenda!$J:$J,"SIN CUPO")-COUNTIFS(Agenda!$A:$A,A9,Agenda!$J:$J,"CANCELADO")</f>
        <v>2</v>
      </c>
      <c r="C9" s="7" t="n">
        <f aca="false">$B$3</f>
        <v>10</v>
      </c>
      <c r="D9" s="7" t="n">
        <f aca="false">C9-B9</f>
        <v>8</v>
      </c>
      <c r="E9" s="7" t="str">
        <f aca="false">IF(B9&gt;=C9,"COPADO","Con cupo")</f>
        <v>Con cupo</v>
      </c>
    </row>
    <row r="10" customFormat="false" ht="15" hidden="false" customHeight="false" outlineLevel="0" collapsed="false">
      <c r="A10" s="22" t="n">
        <v>46316</v>
      </c>
      <c r="B10" s="7" t="n">
        <f aca="false">COUNTIFS(Agenda!$A:$A,A10)-COUNTIFS(Agenda!$A:$A,A10,Agenda!$J:$J,"SIN CUPO")-COUNTIFS(Agenda!$A:$A,A10,Agenda!$J:$J,"CANCELADO")</f>
        <v>1</v>
      </c>
      <c r="C10" s="7" t="n">
        <f aca="false">$B$3</f>
        <v>10</v>
      </c>
      <c r="D10" s="7" t="n">
        <f aca="false">C10-B10</f>
        <v>9</v>
      </c>
      <c r="E10" s="7" t="str">
        <f aca="false">IF(B10&gt;=C10,"COPADO","Con cupo")</f>
        <v>Con cupo</v>
      </c>
    </row>
    <row r="11" customFormat="false" ht="15" hidden="false" customHeight="false" outlineLevel="0" collapsed="false">
      <c r="A11" s="22" t="n">
        <v>46317</v>
      </c>
      <c r="B11" s="7" t="n">
        <f aca="false">COUNTIFS(Agenda!$A:$A,A11)-COUNTIFS(Agenda!$A:$A,A11,Agenda!$J:$J,"SIN CUPO")-COUNTIFS(Agenda!$A:$A,A11,Agenda!$J:$J,"CANCELADO")</f>
        <v>0</v>
      </c>
      <c r="C11" s="7" t="n">
        <f aca="false">$B$3</f>
        <v>10</v>
      </c>
      <c r="D11" s="7" t="n">
        <f aca="false">C11-B11</f>
        <v>10</v>
      </c>
      <c r="E11" s="7" t="str">
        <f aca="false">IF(B11&gt;=C11,"COPADO","Con cupo")</f>
        <v>Con cupo</v>
      </c>
    </row>
    <row r="12" customFormat="false" ht="15" hidden="false" customHeight="false" outlineLevel="0" collapsed="false">
      <c r="A12" s="22" t="n">
        <v>46318</v>
      </c>
      <c r="B12" s="7" t="n">
        <f aca="false">COUNTIFS(Agenda!$A:$A,A12)-COUNTIFS(Agenda!$A:$A,A12,Agenda!$J:$J,"SIN CUPO")-COUNTIFS(Agenda!$A:$A,A12,Agenda!$J:$J,"CANCELADO")</f>
        <v>0</v>
      </c>
      <c r="C12" s="7" t="n">
        <f aca="false">$B$3</f>
        <v>10</v>
      </c>
      <c r="D12" s="7" t="n">
        <f aca="false">C12-B12</f>
        <v>10</v>
      </c>
      <c r="E12" s="7" t="str">
        <f aca="false">IF(B12&gt;=C12,"COPADO","Con cupo")</f>
        <v>Con cupo</v>
      </c>
    </row>
  </sheetData>
  <conditionalFormatting sqref="E7:E12">
    <cfRule type="cellIs" priority="2" operator="equal" aboveAverage="0" equalAverage="0" bottom="0" percent="0" rank="0" text="" dxfId="15">
      <formula>"COPADO"</formula>
    </cfRule>
    <cfRule type="cellIs" priority="3" operator="equal" aboveAverage="0" equalAverage="0" bottom="0" percent="0" rank="0" text="" dxfId="16">
      <formula>"Con cupo"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64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23" t="s">
        <v>143</v>
      </c>
      <c r="B1" s="23" t="s">
        <v>144</v>
      </c>
      <c r="C1" s="23" t="s">
        <v>145</v>
      </c>
      <c r="D1" s="23" t="s">
        <v>146</v>
      </c>
      <c r="E1" s="23" t="s">
        <v>42</v>
      </c>
    </row>
    <row r="2" customFormat="false" ht="15" hidden="false" customHeight="false" outlineLevel="0" collapsed="false">
      <c r="A2" s="7" t="s">
        <v>147</v>
      </c>
      <c r="B2" s="7" t="s">
        <v>148</v>
      </c>
      <c r="C2" s="7" t="s">
        <v>51</v>
      </c>
      <c r="D2" s="7" t="s">
        <v>149</v>
      </c>
      <c r="E2" s="7" t="s">
        <v>50</v>
      </c>
    </row>
    <row r="3" customFormat="false" ht="15" hidden="false" customHeight="false" outlineLevel="0" collapsed="false">
      <c r="A3" s="7" t="s">
        <v>150</v>
      </c>
      <c r="B3" s="7" t="s">
        <v>151</v>
      </c>
      <c r="C3" s="7" t="s">
        <v>152</v>
      </c>
      <c r="D3" s="7" t="s">
        <v>153</v>
      </c>
      <c r="E3" s="7" t="s">
        <v>154</v>
      </c>
    </row>
    <row r="4" customFormat="false" ht="15" hidden="false" customHeight="false" outlineLevel="0" collapsed="false">
      <c r="A4" s="7" t="s">
        <v>155</v>
      </c>
      <c r="B4" s="7" t="s">
        <v>156</v>
      </c>
      <c r="C4" s="7" t="s">
        <v>152</v>
      </c>
      <c r="D4" s="7" t="s">
        <v>153</v>
      </c>
      <c r="E4" s="7" t="s">
        <v>157</v>
      </c>
    </row>
    <row r="5" customFormat="false" ht="15" hidden="false" customHeight="false" outlineLevel="0" collapsed="false">
      <c r="A5" s="7" t="s">
        <v>158</v>
      </c>
      <c r="B5" s="7" t="s">
        <v>159</v>
      </c>
      <c r="C5" s="7" t="s">
        <v>51</v>
      </c>
      <c r="D5" s="7" t="s">
        <v>160</v>
      </c>
      <c r="E5" s="7" t="s">
        <v>129</v>
      </c>
    </row>
    <row r="6" customFormat="false" ht="15" hidden="false" customHeight="false" outlineLevel="0" collapsed="false">
      <c r="A6" s="7" t="s">
        <v>161</v>
      </c>
      <c r="B6" s="7" t="s">
        <v>162</v>
      </c>
      <c r="C6" s="7" t="s">
        <v>51</v>
      </c>
      <c r="D6" s="7" t="s">
        <v>163</v>
      </c>
      <c r="E6" s="7" t="s">
        <v>107</v>
      </c>
    </row>
    <row r="7" customFormat="false" ht="15" hidden="false" customHeight="false" outlineLevel="0" collapsed="false">
      <c r="A7" s="7" t="s">
        <v>164</v>
      </c>
      <c r="B7" s="7" t="s">
        <v>165</v>
      </c>
      <c r="C7" s="7" t="s">
        <v>43</v>
      </c>
      <c r="D7" s="7" t="s">
        <v>166</v>
      </c>
      <c r="E7" s="7" t="s">
        <v>111</v>
      </c>
    </row>
    <row r="8" customFormat="false" ht="15" hidden="false" customHeight="false" outlineLevel="0" collapsed="false">
      <c r="A8" s="7" t="s">
        <v>167</v>
      </c>
      <c r="B8" s="7" t="s">
        <v>168</v>
      </c>
      <c r="C8" s="7" t="s">
        <v>112</v>
      </c>
      <c r="D8" s="7" t="s">
        <v>169</v>
      </c>
      <c r="E8" s="7" t="s">
        <v>117</v>
      </c>
    </row>
    <row r="9" customFormat="false" ht="15" hidden="false" customHeight="false" outlineLevel="0" collapsed="false">
      <c r="A9" s="7" t="s">
        <v>170</v>
      </c>
      <c r="B9" s="7" t="s">
        <v>171</v>
      </c>
      <c r="C9" s="7" t="s">
        <v>51</v>
      </c>
      <c r="D9" s="7" t="s">
        <v>172</v>
      </c>
      <c r="E9" s="7" t="s">
        <v>120</v>
      </c>
    </row>
    <row r="10" customFormat="false" ht="15" hidden="false" customHeight="false" outlineLevel="0" collapsed="false">
      <c r="A10" s="7" t="s">
        <v>173</v>
      </c>
      <c r="B10" s="7" t="s">
        <v>171</v>
      </c>
      <c r="C10" s="7" t="s">
        <v>174</v>
      </c>
      <c r="D10" s="7" t="s">
        <v>175</v>
      </c>
      <c r="E10" s="7" t="s">
        <v>120</v>
      </c>
    </row>
    <row r="11" customFormat="false" ht="15" hidden="false" customHeight="false" outlineLevel="0" collapsed="false">
      <c r="A11" s="7" t="s">
        <v>176</v>
      </c>
      <c r="B11" s="7" t="s">
        <v>177</v>
      </c>
      <c r="C11" s="7" t="s">
        <v>51</v>
      </c>
      <c r="D11" s="7" t="s">
        <v>178</v>
      </c>
      <c r="E11" s="7" t="s">
        <v>124</v>
      </c>
    </row>
    <row r="12" customFormat="false" ht="15" hidden="false" customHeight="false" outlineLevel="0" collapsed="false">
      <c r="A12" s="7" t="s">
        <v>179</v>
      </c>
      <c r="B12" s="7" t="s">
        <v>180</v>
      </c>
      <c r="C12" s="7" t="s">
        <v>51</v>
      </c>
      <c r="D12" s="7" t="s">
        <v>181</v>
      </c>
      <c r="E12" s="7" t="s">
        <v>124</v>
      </c>
    </row>
    <row r="13" customFormat="false" ht="15" hidden="false" customHeight="false" outlineLevel="0" collapsed="false">
      <c r="A13" s="7" t="s">
        <v>182</v>
      </c>
      <c r="B13" s="7" t="s">
        <v>183</v>
      </c>
      <c r="C13" s="7" t="s">
        <v>43</v>
      </c>
      <c r="D13" s="7" t="s">
        <v>184</v>
      </c>
      <c r="E13" s="7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2026-10-14T02:07:25Z</dcterms:created>
  <dc:creator>openpyxl</dc:creator>
  <dc:description/>
  <dc:language>en-US</dc:language>
  <cp:lastModifiedBy/>
  <dcterms:modified xsi:type="dcterms:W3CDTF">2026-10-14T02:07:25Z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